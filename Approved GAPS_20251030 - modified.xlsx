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 - Info-sys\Projects\Clients\6-Technica\6- Development\"/>
    </mc:Choice>
  </mc:AlternateContent>
  <xr:revisionPtr revIDLastSave="0" documentId="8_{929996DD-0B8F-48B6-95E2-11EABFD06FF7}" xr6:coauthVersionLast="47" xr6:coauthVersionMax="47" xr10:uidLastSave="{00000000-0000-0000-0000-000000000000}"/>
  <bookViews>
    <workbookView xWindow="-108" yWindow="-108" windowWidth="23256" windowHeight="12576" activeTab="3" xr2:uid="{C03C46AD-254A-4B1E-B9A7-E4B9F39D59B3}"/>
  </bookViews>
  <sheets>
    <sheet name="dev points" sheetId="2" r:id="rId1"/>
    <sheet name="Sheet3" sheetId="10" r:id="rId2"/>
    <sheet name="Sheet1" sheetId="8" r:id="rId3"/>
    <sheet name="dev points (2)" sheetId="9" r:id="rId4"/>
  </sheets>
  <definedNames>
    <definedName name="_xlnm._FilterDatabase" localSheetId="0" hidden="1">'dev points'!$A$1:$L$26</definedName>
    <definedName name="_xlnm._FilterDatabase" localSheetId="3" hidden="1">'dev points (2)'!$A$1:$I$26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0" l="1"/>
  <c r="D31" i="10"/>
  <c r="F7" i="10"/>
  <c r="F4" i="10"/>
  <c r="F3" i="10"/>
  <c r="F2" i="10"/>
  <c r="A7" i="9"/>
  <c r="C7" i="2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1" i="8"/>
</calcChain>
</file>

<file path=xl/sharedStrings.xml><?xml version="1.0" encoding="utf-8"?>
<sst xmlns="http://schemas.openxmlformats.org/spreadsheetml/2006/main" count="481" uniqueCount="92">
  <si>
    <t>Department</t>
  </si>
  <si>
    <t>Description</t>
  </si>
  <si>
    <t>FIT/GAP</t>
  </si>
  <si>
    <t>GAP Category</t>
  </si>
  <si>
    <t>Technica Priority</t>
  </si>
  <si>
    <t>Solution Design Prepared</t>
  </si>
  <si>
    <t>Estimated Hours</t>
  </si>
  <si>
    <t>Solution Design Approved</t>
  </si>
  <si>
    <t>Infosys GAP recommendation</t>
  </si>
  <si>
    <t>Sales</t>
  </si>
  <si>
    <t>GAP</t>
  </si>
  <si>
    <t>High</t>
  </si>
  <si>
    <t>Adding Fields</t>
  </si>
  <si>
    <t>Grid</t>
  </si>
  <si>
    <t>02092025 - Technica - Sales - Change in Sales Process</t>
  </si>
  <si>
    <t>Inside Change stage in sales process we need several mandatory fields - Competitor &amp; Buyer/ contact &amp; condition to move within different stages. Ability to navigate stages backward.</t>
  </si>
  <si>
    <t>Requirement</t>
  </si>
  <si>
    <t>Project Mngt</t>
  </si>
  <si>
    <t>Proc&amp;Sourcing</t>
  </si>
  <si>
    <t>Add previous purchase price on PO line.</t>
  </si>
  <si>
    <t xml:space="preserve">05092025 - Technica - Purchasing - Details of the purchase order line
</t>
  </si>
  <si>
    <t>Ability of PM to check the status of PO (invoiced &amp; paid by finance) vs Status of Project invoice status (invoiced &amp; paid by customer)</t>
  </si>
  <si>
    <t>26092025 - Technica - Purchase Invoices vs Project Invoices</t>
  </si>
  <si>
    <t>Adding Requested Delivery date &amp; vendor delivery date + payment terms to RFQ comparison /RFQ comparison: Payment terms and delivery date are needed.</t>
  </si>
  <si>
    <t>03092025 - Technica - Sales - RFQ comparison</t>
  </si>
  <si>
    <t>Workflow by project manager</t>
  </si>
  <si>
    <t>Workflow</t>
  </si>
  <si>
    <t>03092025 - Technica - Purchasing - PO workflow by PM</t>
  </si>
  <si>
    <t>Recommended</t>
  </si>
  <si>
    <t>19082025 - Technica - Project Management addition of project ID - Copy Appendix B</t>
  </si>
  <si>
    <t>Spare Parts</t>
  </si>
  <si>
    <t>filter master plan per Sales order, or ability to copy sales order lines items and save it to master line with link to SO nbr ; Filter master plan by SO similar to project</t>
  </si>
  <si>
    <t>19082025 - Technica - Project Management addition of project ID - Copy Appendix E</t>
  </si>
  <si>
    <t>Planned POs to be filtered by project ID</t>
  </si>
  <si>
    <t>19082025 - Technica - Project Management addition of project ID</t>
  </si>
  <si>
    <t>POs generated from master plan can’t be tracked from list to which assembly they are ordered; retreive the project ID on planned PO, Purchase orders and production orders</t>
  </si>
  <si>
    <t>Planned order should reflect activity ID on item requirement from the project.</t>
  </si>
  <si>
    <t>Inventory Mngt</t>
  </si>
  <si>
    <t>adding brand on item level; dragging it to PO form, SO form, production order, planned orders</t>
  </si>
  <si>
    <t>Critical on hand inventory report: to view items below min qty. We need same report but to compare with available physical, not physical inventory.</t>
  </si>
  <si>
    <t>View</t>
  </si>
  <si>
    <t>23092025 - Technica - Critical on-hand inventory</t>
  </si>
  <si>
    <t>Production</t>
  </si>
  <si>
    <t>The “All Production Orders” list should show Qty started, qty pending and qty finished for each production order.</t>
  </si>
  <si>
    <t>25092025 - Technica - Production Overview</t>
  </si>
  <si>
    <t>Price calculation to be checked (Item cost + markup + margin) on sales quotation level; 
Change contribution rates on quotation</t>
  </si>
  <si>
    <t>05092025 - Technica - Sales - Item unit price calculation</t>
  </si>
  <si>
    <t>SPL list generation to be customized by Infosys based on Cedric excel; Add item selling price in the list
For every item in the stock a category should be added (critical, recommended, none, consumables) -&gt; SPL is the list of items used in the project (all but type 'none') and will be sent to the client.</t>
  </si>
  <si>
    <t>13102025 - Technica - Critical recommended consumables spare parts</t>
  </si>
  <si>
    <t>Disable (Release, estimate and start) of a prod. order or a PO if payment is not received when a prepayment is requested on Sales order;
Prepayment condition: if not received cannot proceed with purchases and production</t>
  </si>
  <si>
    <t>26082025 - Technica - Disable (Release, estimate and start) of a prod. order or a PO if payment is not received when a prepayment is requested on Sales order;</t>
  </si>
  <si>
    <t>PAID checkbox on the on-account invoices</t>
  </si>
  <si>
    <t>26092025 - Technica - Finance PAID checkbox on the on-account invoices</t>
  </si>
  <si>
    <t>Customer statement generation filtering by posting profiles "Shipment" or "Prepayment"</t>
  </si>
  <si>
    <t>26092025 - Technica - Finance Projects number sequence and statement appendix b</t>
  </si>
  <si>
    <t>Having 2 different sequence numbers for the invoice journal generated from the project proposal invoices.</t>
  </si>
  <si>
    <t>26092025 - Technica - Finance Projects number sequence and statement</t>
  </si>
  <si>
    <t>Planned purchase orders firming should result in draft purchase orders that need to be submitted to workflow</t>
  </si>
  <si>
    <t>02102025 - Technica - Purchasing - PO workflow from MRP</t>
  </si>
  <si>
    <t>A main contact should be selected from the opportunity contacts and auto-added to the contact on the main opportunity page</t>
  </si>
  <si>
    <t>13102025 - Technica - Sales - Selection of contact in opportunity</t>
  </si>
  <si>
    <t>Transfer to project should be disabled after project creation</t>
  </si>
  <si>
    <t>13102025 - Technica - Transfer to project from quotations</t>
  </si>
  <si>
    <t>Control sum of on-account transactions based on the quotation amount</t>
  </si>
  <si>
    <t>20102025 - Technica - Control on account transactions amount</t>
  </si>
  <si>
    <t>Add project id to the arrival overview form</t>
  </si>
  <si>
    <t>20102025 - Technica - Arrival overview project ID</t>
  </si>
  <si>
    <t>When the actual time spent passes the estimated time, the user needs to specify a reason in real time before being able to complete the job &amp; a notification to be sent to team leader</t>
  </si>
  <si>
    <t>Requirement + Notification</t>
  </si>
  <si>
    <t>07102025 - Technica - Production floor execution</t>
  </si>
  <si>
    <t>Approved</t>
  </si>
  <si>
    <t>Priority</t>
  </si>
  <si>
    <t>Lea</t>
  </si>
  <si>
    <t>Abdullah</t>
  </si>
  <si>
    <t>Wassim</t>
  </si>
  <si>
    <t>Ressource</t>
  </si>
  <si>
    <t>Estimated delivery Date</t>
  </si>
  <si>
    <t>Delivery date in sales/project quotation to be managed by weeks. Once confirmed: confirmed date + number of days or weeks to be reflected on  sales order</t>
  </si>
  <si>
    <t>in sales /project quotation header to have field - [delivery after nbr of weeks]</t>
  </si>
  <si>
    <t>05092025 - Technica - Purchasing - Details of the purchase order line</t>
  </si>
  <si>
    <t>Price calculation to be checked (Item cost + markup + margin) on sales quotation level;</t>
  </si>
  <si>
    <t>Change contribution rates on quotation</t>
  </si>
  <si>
    <t>SPL list generation to be customized by Infosys based on Cedric excel; Add item selling price in the list</t>
  </si>
  <si>
    <t>For every item in the stock a category should be added (critical, recommended, none, consumables) -&gt; SPL is the list of items used in the project (all but type 'none') and will be sent to the client.</t>
  </si>
  <si>
    <t>Disable (Release, estimate and start) of a prod. order or a PO if payment is not received when a prepayment is requested on Sales order;</t>
  </si>
  <si>
    <t>Prepayment condition: if not received cannot proceed with purchases and production</t>
  </si>
  <si>
    <t>26082025 - Technica - Spare parts Quotation to be managed by weeks</t>
  </si>
  <si>
    <t>Original Estimated Hours</t>
  </si>
  <si>
    <t>Modification</t>
  </si>
  <si>
    <t>Final development hours</t>
  </si>
  <si>
    <t>Pending Technica Decision</t>
  </si>
  <si>
    <t>Solution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</si>
</sst>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"/>
      <family val="2"/>
      <charset val="1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color theme="1"/>
      <name val="Segoe UI"/>
      <family val="2"/>
    </font>
    <font>
      <b/>
      <sz val="22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16" fontId="0" fillId="2" borderId="2" xfId="0" applyNumberFormat="1" applyFill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2" fontId="1" fillId="3" borderId="2" xfId="0" applyNumberFormat="1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wrapText="1"/>
    </xf>
    <xf numFmtId="0" fontId="0" fillId="4" borderId="2" xfId="0" applyFill="1" applyBorder="1" applyAlignment="1">
      <alignment horizontal="center" vertical="center"/>
    </xf>
    <xf numFmtId="16" fontId="0" fillId="4" borderId="2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left" wrapText="1"/>
    </xf>
    <xf numFmtId="0" fontId="0" fillId="4" borderId="3" xfId="0" applyFill="1" applyBorder="1" applyAlignment="1">
      <alignment horizontal="center" vertical="center" wrapText="1"/>
    </xf>
    <xf numFmtId="16" fontId="0" fillId="4" borderId="3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wrapText="1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center" vertical="center" wrapText="1"/>
    </xf>
    <xf numFmtId="16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1" fillId="0" borderId="4" xfId="0" applyFont="1" applyBorder="1" applyAlignment="1">
      <alignment horizontal="center" vertical="center"/>
    </xf>
    <xf numFmtId="16" fontId="1" fillId="0" borderId="4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 wrapText="1"/>
    </xf>
    <xf numFmtId="0" fontId="0" fillId="4" borderId="1" xfId="0" applyFill="1" applyBorder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5" borderId="6" xfId="0" applyFill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0" fillId="0" borderId="6" xfId="0" applyBorder="1" applyAlignment="1">
      <alignment horizontal="left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left" wrapText="1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/>
    </xf>
    <xf numFmtId="0" fontId="8" fillId="6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wrapText="1"/>
    </xf>
    <xf numFmtId="0" fontId="2" fillId="0" borderId="1" xfId="0" applyFont="1" applyBorder="1"/>
    <xf numFmtId="0" fontId="0" fillId="0" borderId="4" xfId="0" applyBorder="1" applyAlignment="1">
      <alignment horizontal="center" vertical="center"/>
    </xf>
    <xf numFmtId="0" fontId="10" fillId="0" borderId="0" xfId="0" applyFont="1"/>
    <xf numFmtId="0" fontId="8" fillId="3" borderId="2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2" fontId="1" fillId="4" borderId="4" xfId="0" applyNumberFormat="1" applyFont="1" applyFill="1" applyBorder="1" applyAlignment="1">
      <alignment horizontal="center" vertical="center"/>
    </xf>
    <xf numFmtId="2" fontId="1" fillId="4" borderId="3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2" xfId="0" applyFont="1" applyBorder="1" applyAlignment="1">
      <alignment horizontal="left" wrapText="1"/>
    </xf>
    <xf numFmtId="0" fontId="8" fillId="0" borderId="3" xfId="0" applyFont="1" applyBorder="1" applyAlignment="1">
      <alignment horizontal="left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CD72F-CF5E-48A5-B925-D60808E892ED}">
  <dimension ref="A1:L26"/>
  <sheetViews>
    <sheetView topLeftCell="A19" workbookViewId="0">
      <selection activeCell="C3" sqref="C3"/>
    </sheetView>
  </sheetViews>
  <sheetFormatPr defaultRowHeight="14.4" x14ac:dyDescent="0.3"/>
  <cols>
    <col min="1" max="1" width="25.44140625" style="21" customWidth="1"/>
    <col min="2" max="2" width="15.44140625" style="21" customWidth="1"/>
    <col min="3" max="3" width="12" customWidth="1"/>
    <col min="4" max="4" width="12.6640625" bestFit="1" customWidth="1"/>
    <col min="5" max="5" width="14.88671875" customWidth="1"/>
    <col min="6" max="6" width="54.5546875" bestFit="1" customWidth="1"/>
    <col min="7" max="7" width="8" bestFit="1" customWidth="1"/>
    <col min="8" max="8" width="16.109375" style="16" customWidth="1"/>
    <col min="9" max="9" width="11" customWidth="1"/>
    <col min="10" max="10" width="72.6640625" customWidth="1"/>
    <col min="11" max="11" width="26" customWidth="1"/>
    <col min="12" max="12" width="18" customWidth="1"/>
  </cols>
  <sheetData>
    <row r="1" spans="1:12" ht="28.8" x14ac:dyDescent="0.3">
      <c r="A1" s="1" t="s">
        <v>75</v>
      </c>
      <c r="B1" s="1" t="s">
        <v>71</v>
      </c>
      <c r="C1" s="2" t="s">
        <v>6</v>
      </c>
      <c r="D1" s="2" t="s">
        <v>76</v>
      </c>
      <c r="E1" s="1" t="s">
        <v>0</v>
      </c>
      <c r="F1" s="2" t="s">
        <v>1</v>
      </c>
      <c r="G1" s="1" t="s">
        <v>2</v>
      </c>
      <c r="H1" s="1" t="s">
        <v>3</v>
      </c>
      <c r="I1" s="3" t="s">
        <v>4</v>
      </c>
      <c r="J1" s="4" t="s">
        <v>5</v>
      </c>
      <c r="K1" s="1" t="s">
        <v>7</v>
      </c>
      <c r="L1" s="2" t="s">
        <v>8</v>
      </c>
    </row>
    <row r="2" spans="1:12" ht="43.2" x14ac:dyDescent="0.3">
      <c r="A2" s="26" t="s">
        <v>73</v>
      </c>
      <c r="B2" s="9">
        <v>2</v>
      </c>
      <c r="C2" s="44">
        <v>76</v>
      </c>
      <c r="D2" s="45">
        <v>45980</v>
      </c>
      <c r="E2" s="5" t="s">
        <v>9</v>
      </c>
      <c r="F2" s="29" t="s">
        <v>15</v>
      </c>
      <c r="G2" s="7" t="s">
        <v>10</v>
      </c>
      <c r="H2" s="17" t="s">
        <v>16</v>
      </c>
      <c r="I2" s="8" t="s">
        <v>11</v>
      </c>
      <c r="J2" s="6" t="s">
        <v>14</v>
      </c>
      <c r="K2" s="9" t="s">
        <v>70</v>
      </c>
      <c r="L2" s="9"/>
    </row>
    <row r="3" spans="1:12" ht="28.8" x14ac:dyDescent="0.3">
      <c r="A3" s="26" t="s">
        <v>72</v>
      </c>
      <c r="B3" s="26">
        <v>1</v>
      </c>
      <c r="C3" s="30">
        <v>4</v>
      </c>
      <c r="D3" s="31">
        <v>45965</v>
      </c>
      <c r="E3" s="32" t="s">
        <v>18</v>
      </c>
      <c r="F3" s="27" t="s">
        <v>19</v>
      </c>
      <c r="G3" s="33" t="s">
        <v>10</v>
      </c>
      <c r="H3" s="34" t="s">
        <v>16</v>
      </c>
      <c r="I3" s="35" t="s">
        <v>11</v>
      </c>
      <c r="J3" s="36" t="s">
        <v>20</v>
      </c>
      <c r="K3" s="26" t="s">
        <v>70</v>
      </c>
      <c r="L3" s="26"/>
    </row>
    <row r="4" spans="1:12" ht="28.8" x14ac:dyDescent="0.3">
      <c r="A4" s="26" t="s">
        <v>72</v>
      </c>
      <c r="B4" s="26">
        <v>2</v>
      </c>
      <c r="C4" s="37">
        <v>8</v>
      </c>
      <c r="D4" s="38">
        <v>45974</v>
      </c>
      <c r="E4" s="32" t="s">
        <v>17</v>
      </c>
      <c r="F4" s="39" t="s">
        <v>21</v>
      </c>
      <c r="G4" s="40" t="s">
        <v>10</v>
      </c>
      <c r="H4" s="34" t="s">
        <v>16</v>
      </c>
      <c r="I4" s="35" t="s">
        <v>11</v>
      </c>
      <c r="J4" s="39" t="s">
        <v>22</v>
      </c>
      <c r="K4" s="26" t="s">
        <v>70</v>
      </c>
      <c r="L4" s="41"/>
    </row>
    <row r="5" spans="1:12" ht="43.2" x14ac:dyDescent="0.3">
      <c r="A5" s="26" t="s">
        <v>72</v>
      </c>
      <c r="B5" s="26">
        <v>1</v>
      </c>
      <c r="C5" s="26">
        <v>16</v>
      </c>
      <c r="D5" s="42">
        <v>45967</v>
      </c>
      <c r="E5" s="32" t="s">
        <v>18</v>
      </c>
      <c r="F5" s="39" t="s">
        <v>23</v>
      </c>
      <c r="G5" s="33" t="s">
        <v>10</v>
      </c>
      <c r="H5" s="34" t="s">
        <v>12</v>
      </c>
      <c r="I5" s="35" t="s">
        <v>11</v>
      </c>
      <c r="J5" s="39" t="s">
        <v>24</v>
      </c>
      <c r="K5" s="26" t="s">
        <v>70</v>
      </c>
      <c r="L5" s="26"/>
    </row>
    <row r="6" spans="1:12" x14ac:dyDescent="0.3">
      <c r="A6" s="26" t="s">
        <v>72</v>
      </c>
      <c r="B6" s="26">
        <v>1</v>
      </c>
      <c r="C6" s="26">
        <v>20</v>
      </c>
      <c r="D6" s="42">
        <v>45971</v>
      </c>
      <c r="E6" s="32" t="s">
        <v>18</v>
      </c>
      <c r="F6" s="27" t="s">
        <v>25</v>
      </c>
      <c r="G6" s="33" t="s">
        <v>10</v>
      </c>
      <c r="H6" s="34" t="s">
        <v>26</v>
      </c>
      <c r="I6" s="35" t="s">
        <v>11</v>
      </c>
      <c r="J6" s="39" t="s">
        <v>27</v>
      </c>
      <c r="K6" s="26" t="s">
        <v>70</v>
      </c>
      <c r="L6" s="26" t="s">
        <v>28</v>
      </c>
    </row>
    <row r="7" spans="1:12" ht="43.2" customHeight="1" x14ac:dyDescent="0.3">
      <c r="A7" s="88" t="s">
        <v>74</v>
      </c>
      <c r="B7" s="88">
        <v>1</v>
      </c>
      <c r="C7" s="86">
        <f>56-8</f>
        <v>48</v>
      </c>
      <c r="D7" s="31">
        <v>45973</v>
      </c>
      <c r="E7" s="32" t="s">
        <v>17</v>
      </c>
      <c r="F7" s="39" t="s">
        <v>33</v>
      </c>
      <c r="G7" s="40" t="s">
        <v>10</v>
      </c>
      <c r="H7" s="34" t="s">
        <v>13</v>
      </c>
      <c r="I7" s="35" t="s">
        <v>11</v>
      </c>
      <c r="J7" s="39" t="s">
        <v>34</v>
      </c>
      <c r="K7" s="26" t="s">
        <v>70</v>
      </c>
      <c r="L7" s="41" t="s">
        <v>28</v>
      </c>
    </row>
    <row r="8" spans="1:12" ht="43.2" x14ac:dyDescent="0.3">
      <c r="A8" s="89"/>
      <c r="B8" s="89"/>
      <c r="C8" s="86"/>
      <c r="D8" s="31">
        <v>45973</v>
      </c>
      <c r="E8" s="32" t="s">
        <v>17</v>
      </c>
      <c r="F8" s="27" t="s">
        <v>35</v>
      </c>
      <c r="G8" s="33" t="s">
        <v>10</v>
      </c>
      <c r="H8" s="34" t="s">
        <v>16</v>
      </c>
      <c r="I8" s="35" t="s">
        <v>11</v>
      </c>
      <c r="J8" s="39" t="s">
        <v>34</v>
      </c>
      <c r="K8" s="26" t="s">
        <v>70</v>
      </c>
      <c r="L8" s="26" t="s">
        <v>28</v>
      </c>
    </row>
    <row r="9" spans="1:12" ht="43.2" customHeight="1" x14ac:dyDescent="0.3">
      <c r="A9" s="89"/>
      <c r="B9" s="89"/>
      <c r="C9" s="86"/>
      <c r="D9" s="31">
        <v>45973</v>
      </c>
      <c r="E9" s="32" t="s">
        <v>18</v>
      </c>
      <c r="F9" s="27" t="s">
        <v>36</v>
      </c>
      <c r="G9" s="33" t="s">
        <v>10</v>
      </c>
      <c r="H9" s="34" t="s">
        <v>16</v>
      </c>
      <c r="I9" s="35" t="s">
        <v>11</v>
      </c>
      <c r="J9" s="39" t="s">
        <v>34</v>
      </c>
      <c r="K9" s="26" t="s">
        <v>70</v>
      </c>
      <c r="L9" s="26" t="s">
        <v>28</v>
      </c>
    </row>
    <row r="10" spans="1:12" ht="57.6" customHeight="1" x14ac:dyDescent="0.3">
      <c r="A10" s="90"/>
      <c r="B10" s="90"/>
      <c r="C10" s="87"/>
      <c r="D10" s="31">
        <v>45973</v>
      </c>
      <c r="E10" s="32" t="s">
        <v>37</v>
      </c>
      <c r="F10" s="27" t="s">
        <v>38</v>
      </c>
      <c r="G10" s="43" t="s">
        <v>10</v>
      </c>
      <c r="H10" s="41" t="s">
        <v>16</v>
      </c>
      <c r="I10" s="35" t="s">
        <v>11</v>
      </c>
      <c r="J10" s="39" t="s">
        <v>29</v>
      </c>
      <c r="K10" s="26" t="s">
        <v>70</v>
      </c>
      <c r="L10" s="26"/>
    </row>
    <row r="11" spans="1:12" ht="43.2" x14ac:dyDescent="0.3">
      <c r="A11" s="26" t="s">
        <v>73</v>
      </c>
      <c r="B11" s="26">
        <v>1</v>
      </c>
      <c r="C11" s="26">
        <v>6</v>
      </c>
      <c r="D11" s="42">
        <v>45965</v>
      </c>
      <c r="E11" s="32" t="s">
        <v>37</v>
      </c>
      <c r="F11" s="27" t="s">
        <v>39</v>
      </c>
      <c r="G11" s="33" t="s">
        <v>10</v>
      </c>
      <c r="H11" s="34" t="s">
        <v>40</v>
      </c>
      <c r="I11" s="35" t="s">
        <v>11</v>
      </c>
      <c r="J11" s="39" t="s">
        <v>41</v>
      </c>
      <c r="K11" s="26" t="s">
        <v>70</v>
      </c>
      <c r="L11" s="26" t="s">
        <v>28</v>
      </c>
    </row>
    <row r="12" spans="1:12" ht="28.8" x14ac:dyDescent="0.3">
      <c r="A12" s="26" t="s">
        <v>74</v>
      </c>
      <c r="B12" s="26">
        <v>2</v>
      </c>
      <c r="C12" s="26">
        <v>8</v>
      </c>
      <c r="D12" s="42">
        <v>45974</v>
      </c>
      <c r="E12" s="32" t="s">
        <v>42</v>
      </c>
      <c r="F12" s="27" t="s">
        <v>43</v>
      </c>
      <c r="G12" s="33" t="s">
        <v>10</v>
      </c>
      <c r="H12" s="34" t="s">
        <v>16</v>
      </c>
      <c r="I12" s="35" t="s">
        <v>11</v>
      </c>
      <c r="J12" s="39" t="s">
        <v>44</v>
      </c>
      <c r="K12" s="26" t="s">
        <v>70</v>
      </c>
      <c r="L12" s="26"/>
    </row>
    <row r="13" spans="1:12" ht="43.2" x14ac:dyDescent="0.3">
      <c r="A13" s="9" t="s">
        <v>74</v>
      </c>
      <c r="B13" s="9">
        <v>3</v>
      </c>
      <c r="C13" s="15">
        <v>6</v>
      </c>
      <c r="D13" s="24">
        <v>45982</v>
      </c>
      <c r="E13" s="5" t="s">
        <v>30</v>
      </c>
      <c r="F13" s="28" t="s">
        <v>45</v>
      </c>
      <c r="G13" s="7" t="s">
        <v>10</v>
      </c>
      <c r="H13" s="17" t="s">
        <v>16</v>
      </c>
      <c r="I13" s="8" t="s">
        <v>11</v>
      </c>
      <c r="J13" s="11" t="s">
        <v>46</v>
      </c>
      <c r="K13" s="9" t="s">
        <v>70</v>
      </c>
      <c r="L13" s="9" t="s">
        <v>28</v>
      </c>
    </row>
    <row r="14" spans="1:12" ht="84.6" customHeight="1" x14ac:dyDescent="0.3">
      <c r="A14" s="9" t="s">
        <v>74</v>
      </c>
      <c r="B14" s="9">
        <v>3</v>
      </c>
      <c r="C14" s="9">
        <v>10</v>
      </c>
      <c r="D14" s="22">
        <v>45986</v>
      </c>
      <c r="E14" s="5" t="s">
        <v>30</v>
      </c>
      <c r="F14" s="10" t="s">
        <v>47</v>
      </c>
      <c r="G14" s="7" t="s">
        <v>10</v>
      </c>
      <c r="H14" s="17" t="s">
        <v>40</v>
      </c>
      <c r="I14" s="8" t="s">
        <v>11</v>
      </c>
      <c r="J14" s="6" t="s">
        <v>48</v>
      </c>
      <c r="K14" s="9" t="s">
        <v>70</v>
      </c>
      <c r="L14" s="9" t="s">
        <v>28</v>
      </c>
    </row>
    <row r="15" spans="1:12" ht="72" x14ac:dyDescent="0.3">
      <c r="A15" s="9" t="s">
        <v>74</v>
      </c>
      <c r="B15" s="9">
        <v>3</v>
      </c>
      <c r="C15" s="9">
        <v>16</v>
      </c>
      <c r="D15" s="22">
        <v>45988</v>
      </c>
      <c r="E15" s="5" t="s">
        <v>30</v>
      </c>
      <c r="F15" s="10" t="s">
        <v>49</v>
      </c>
      <c r="G15" s="7" t="s">
        <v>10</v>
      </c>
      <c r="H15" s="17" t="s">
        <v>16</v>
      </c>
      <c r="I15" s="8" t="s">
        <v>11</v>
      </c>
      <c r="J15" s="6" t="s">
        <v>50</v>
      </c>
      <c r="K15" s="9" t="s">
        <v>70</v>
      </c>
      <c r="L15" s="9"/>
    </row>
    <row r="16" spans="1:12" x14ac:dyDescent="0.3">
      <c r="A16" s="26" t="s">
        <v>72</v>
      </c>
      <c r="B16" s="26">
        <v>2</v>
      </c>
      <c r="C16" s="26">
        <v>10</v>
      </c>
      <c r="D16" s="42">
        <v>45978</v>
      </c>
      <c r="E16" s="32" t="s">
        <v>17</v>
      </c>
      <c r="F16" s="27" t="s">
        <v>51</v>
      </c>
      <c r="G16" s="33" t="s">
        <v>10</v>
      </c>
      <c r="H16" s="34" t="s">
        <v>13</v>
      </c>
      <c r="I16" s="35" t="s">
        <v>11</v>
      </c>
      <c r="J16" s="39" t="s">
        <v>52</v>
      </c>
      <c r="K16" s="26" t="s">
        <v>70</v>
      </c>
      <c r="L16" s="9"/>
    </row>
    <row r="17" spans="1:12" ht="28.8" x14ac:dyDescent="0.3">
      <c r="A17" s="9" t="s">
        <v>72</v>
      </c>
      <c r="B17" s="9">
        <v>2</v>
      </c>
      <c r="C17" s="12">
        <v>20</v>
      </c>
      <c r="D17" s="23">
        <v>45981</v>
      </c>
      <c r="E17" s="5" t="s">
        <v>17</v>
      </c>
      <c r="F17" s="29" t="s">
        <v>53</v>
      </c>
      <c r="G17" s="7" t="s">
        <v>10</v>
      </c>
      <c r="H17" s="17" t="s">
        <v>16</v>
      </c>
      <c r="I17" s="8" t="s">
        <v>11</v>
      </c>
      <c r="J17" s="6" t="s">
        <v>54</v>
      </c>
      <c r="K17" s="9" t="s">
        <v>70</v>
      </c>
      <c r="L17" s="9" t="s">
        <v>28</v>
      </c>
    </row>
    <row r="18" spans="1:12" ht="28.8" x14ac:dyDescent="0.3">
      <c r="A18" s="26" t="s">
        <v>72</v>
      </c>
      <c r="B18" s="9">
        <v>2</v>
      </c>
      <c r="C18" s="14"/>
      <c r="D18" s="14"/>
      <c r="E18" s="5" t="s">
        <v>17</v>
      </c>
      <c r="F18" s="29" t="s">
        <v>55</v>
      </c>
      <c r="G18" s="7" t="s">
        <v>10</v>
      </c>
      <c r="H18" s="17" t="s">
        <v>16</v>
      </c>
      <c r="I18" s="8" t="s">
        <v>11</v>
      </c>
      <c r="J18" s="6" t="s">
        <v>56</v>
      </c>
      <c r="K18" s="9" t="s">
        <v>70</v>
      </c>
      <c r="L18" s="9"/>
    </row>
    <row r="19" spans="1:12" ht="28.8" x14ac:dyDescent="0.3">
      <c r="A19" s="26" t="s">
        <v>72</v>
      </c>
      <c r="B19" s="26">
        <v>1</v>
      </c>
      <c r="C19" s="26">
        <v>10</v>
      </c>
      <c r="D19" s="42">
        <v>45973</v>
      </c>
      <c r="E19" s="32" t="s">
        <v>18</v>
      </c>
      <c r="F19" s="39" t="s">
        <v>57</v>
      </c>
      <c r="G19" s="33" t="s">
        <v>10</v>
      </c>
      <c r="H19" s="34" t="s">
        <v>16</v>
      </c>
      <c r="I19" s="35" t="s">
        <v>11</v>
      </c>
      <c r="J19" s="39" t="s">
        <v>58</v>
      </c>
      <c r="K19" s="26" t="s">
        <v>70</v>
      </c>
      <c r="L19" s="26"/>
    </row>
    <row r="20" spans="1:12" ht="28.8" x14ac:dyDescent="0.3">
      <c r="A20" s="9" t="s">
        <v>73</v>
      </c>
      <c r="B20" s="9">
        <v>2</v>
      </c>
      <c r="C20" s="9">
        <v>5</v>
      </c>
      <c r="D20" s="22">
        <v>45981</v>
      </c>
      <c r="E20" s="5" t="s">
        <v>9</v>
      </c>
      <c r="F20" s="29" t="s">
        <v>59</v>
      </c>
      <c r="G20" s="7" t="s">
        <v>10</v>
      </c>
      <c r="H20" s="17" t="s">
        <v>16</v>
      </c>
      <c r="I20" s="8" t="s">
        <v>11</v>
      </c>
      <c r="J20" s="6" t="s">
        <v>60</v>
      </c>
      <c r="K20" s="9" t="s">
        <v>70</v>
      </c>
      <c r="L20" s="9"/>
    </row>
    <row r="21" spans="1:12" s="49" customFormat="1" x14ac:dyDescent="0.3">
      <c r="A21" s="26" t="s">
        <v>72</v>
      </c>
      <c r="B21" s="26">
        <v>2</v>
      </c>
      <c r="C21" s="26">
        <v>5</v>
      </c>
      <c r="D21" s="42">
        <v>45982</v>
      </c>
      <c r="E21" s="32" t="s">
        <v>17</v>
      </c>
      <c r="F21" s="48" t="s">
        <v>61</v>
      </c>
      <c r="G21" s="33" t="s">
        <v>10</v>
      </c>
      <c r="H21" s="34" t="s">
        <v>16</v>
      </c>
      <c r="I21" s="35" t="s">
        <v>11</v>
      </c>
      <c r="J21" s="39" t="s">
        <v>62</v>
      </c>
      <c r="K21" s="26" t="s">
        <v>70</v>
      </c>
      <c r="L21" s="26"/>
    </row>
    <row r="22" spans="1:12" ht="28.8" x14ac:dyDescent="0.3">
      <c r="A22" s="26" t="s">
        <v>72</v>
      </c>
      <c r="B22" s="9">
        <v>2</v>
      </c>
      <c r="C22" s="9">
        <v>14</v>
      </c>
      <c r="D22" s="22">
        <v>45986</v>
      </c>
      <c r="E22" s="5" t="s">
        <v>17</v>
      </c>
      <c r="F22" s="47" t="s">
        <v>63</v>
      </c>
      <c r="G22" s="7" t="s">
        <v>10</v>
      </c>
      <c r="H22" s="17" t="s">
        <v>16</v>
      </c>
      <c r="I22" s="8" t="s">
        <v>11</v>
      </c>
      <c r="J22" s="6" t="s">
        <v>64</v>
      </c>
      <c r="K22" s="9" t="s">
        <v>70</v>
      </c>
      <c r="L22" s="9"/>
    </row>
    <row r="23" spans="1:12" x14ac:dyDescent="0.3">
      <c r="A23" s="9" t="s">
        <v>73</v>
      </c>
      <c r="B23" s="9">
        <v>2</v>
      </c>
      <c r="C23" s="9">
        <v>10</v>
      </c>
      <c r="D23" s="22">
        <v>45982</v>
      </c>
      <c r="E23" s="5" t="s">
        <v>37</v>
      </c>
      <c r="F23" s="46" t="s">
        <v>65</v>
      </c>
      <c r="G23" s="7" t="s">
        <v>10</v>
      </c>
      <c r="H23" s="17" t="s">
        <v>16</v>
      </c>
      <c r="I23" s="8" t="s">
        <v>11</v>
      </c>
      <c r="J23" s="6" t="s">
        <v>66</v>
      </c>
      <c r="K23" s="9" t="s">
        <v>70</v>
      </c>
      <c r="L23" s="9" t="s">
        <v>28</v>
      </c>
    </row>
    <row r="24" spans="1:12" ht="43.2" x14ac:dyDescent="0.3">
      <c r="A24" s="9" t="s">
        <v>74</v>
      </c>
      <c r="B24" s="9">
        <v>2</v>
      </c>
      <c r="C24" s="9">
        <v>40</v>
      </c>
      <c r="D24" s="22">
        <v>45981</v>
      </c>
      <c r="E24" s="5" t="s">
        <v>42</v>
      </c>
      <c r="F24" s="47" t="s">
        <v>67</v>
      </c>
      <c r="G24" s="7" t="s">
        <v>10</v>
      </c>
      <c r="H24" s="20" t="s">
        <v>68</v>
      </c>
      <c r="I24" s="8" t="s">
        <v>11</v>
      </c>
      <c r="J24" s="6" t="s">
        <v>69</v>
      </c>
      <c r="K24" s="9" t="s">
        <v>70</v>
      </c>
      <c r="L24" s="9"/>
    </row>
    <row r="25" spans="1:12" ht="43.2" x14ac:dyDescent="0.3">
      <c r="A25" s="50" t="s">
        <v>72</v>
      </c>
      <c r="B25" s="9">
        <v>2</v>
      </c>
      <c r="C25" s="85">
        <v>10</v>
      </c>
      <c r="D25" s="91"/>
      <c r="E25" s="5" t="s">
        <v>30</v>
      </c>
      <c r="F25" s="51" t="s">
        <v>77</v>
      </c>
    </row>
    <row r="26" spans="1:12" ht="28.8" x14ac:dyDescent="0.3">
      <c r="A26" s="50" t="s">
        <v>72</v>
      </c>
      <c r="B26" s="9">
        <v>2</v>
      </c>
      <c r="C26" s="85"/>
      <c r="D26" s="92"/>
      <c r="E26" s="5" t="s">
        <v>30</v>
      </c>
      <c r="F26" s="51" t="s">
        <v>78</v>
      </c>
    </row>
  </sheetData>
  <autoFilter ref="A1:L26" xr:uid="{79FCD72F-CF5E-48A5-B925-D60808E892ED}"/>
  <mergeCells count="5">
    <mergeCell ref="C25:C26"/>
    <mergeCell ref="C7:C10"/>
    <mergeCell ref="A7:A10"/>
    <mergeCell ref="B7:B10"/>
    <mergeCell ref="D25:D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86AB4-3682-4C8C-8543-DA41531E9374}">
  <dimension ref="A1:F31"/>
  <sheetViews>
    <sheetView topLeftCell="C19" workbookViewId="0">
      <selection activeCell="B36" sqref="B36"/>
    </sheetView>
  </sheetViews>
  <sheetFormatPr defaultColWidth="38.33203125" defaultRowHeight="14.4" x14ac:dyDescent="0.3"/>
  <cols>
    <col min="1" max="1" width="16.44140625" customWidth="1"/>
    <col min="2" max="2" width="57.44140625" customWidth="1"/>
    <col min="3" max="3" width="80.6640625" customWidth="1"/>
    <col min="4" max="4" width="22" bestFit="1" customWidth="1"/>
    <col min="5" max="5" width="13.77734375" customWidth="1"/>
    <col min="6" max="6" width="21.6640625" bestFit="1" customWidth="1"/>
  </cols>
  <sheetData>
    <row r="1" spans="1:6" x14ac:dyDescent="0.3">
      <c r="A1" s="65" t="s">
        <v>0</v>
      </c>
      <c r="B1" s="66" t="s">
        <v>91</v>
      </c>
      <c r="C1" s="67" t="s">
        <v>1</v>
      </c>
      <c r="D1" s="67" t="s">
        <v>87</v>
      </c>
      <c r="E1" s="80" t="s">
        <v>88</v>
      </c>
      <c r="F1" s="80" t="s">
        <v>89</v>
      </c>
    </row>
    <row r="2" spans="1:6" ht="28.8" x14ac:dyDescent="0.3">
      <c r="A2" s="68" t="s">
        <v>9</v>
      </c>
      <c r="B2" s="69" t="s">
        <v>14</v>
      </c>
      <c r="C2" s="69" t="s">
        <v>15</v>
      </c>
      <c r="D2" s="81">
        <v>76</v>
      </c>
      <c r="E2" s="7"/>
      <c r="F2" s="9">
        <f>D2-E2</f>
        <v>76</v>
      </c>
    </row>
    <row r="3" spans="1:6" x14ac:dyDescent="0.3">
      <c r="A3" s="68" t="s">
        <v>18</v>
      </c>
      <c r="B3" s="71" t="s">
        <v>79</v>
      </c>
      <c r="C3" s="72" t="s">
        <v>19</v>
      </c>
      <c r="D3" s="70">
        <v>4</v>
      </c>
      <c r="E3" s="7"/>
      <c r="F3" s="70">
        <f>D3-E3</f>
        <v>4</v>
      </c>
    </row>
    <row r="4" spans="1:6" ht="28.8" x14ac:dyDescent="0.3">
      <c r="A4" s="68" t="s">
        <v>17</v>
      </c>
      <c r="B4" s="69" t="s">
        <v>22</v>
      </c>
      <c r="C4" s="69" t="s">
        <v>21</v>
      </c>
      <c r="D4" s="74">
        <v>8</v>
      </c>
      <c r="E4" s="7"/>
      <c r="F4" s="74">
        <f>D4-E4</f>
        <v>8</v>
      </c>
    </row>
    <row r="5" spans="1:6" ht="28.8" x14ac:dyDescent="0.3">
      <c r="A5" s="68" t="s">
        <v>18</v>
      </c>
      <c r="B5" s="69" t="s">
        <v>24</v>
      </c>
      <c r="C5" s="69" t="s">
        <v>23</v>
      </c>
      <c r="D5" s="70">
        <v>16</v>
      </c>
      <c r="E5" s="7"/>
      <c r="F5" s="70">
        <v>16</v>
      </c>
    </row>
    <row r="6" spans="1:6" x14ac:dyDescent="0.3">
      <c r="A6" s="68" t="s">
        <v>18</v>
      </c>
      <c r="B6" s="69" t="s">
        <v>27</v>
      </c>
      <c r="C6" s="72" t="s">
        <v>25</v>
      </c>
      <c r="D6" s="70">
        <v>20</v>
      </c>
      <c r="E6" s="7"/>
      <c r="F6" s="70">
        <v>20</v>
      </c>
    </row>
    <row r="7" spans="1:6" ht="28.8" x14ac:dyDescent="0.3">
      <c r="A7" s="68" t="s">
        <v>17</v>
      </c>
      <c r="B7" s="69" t="s">
        <v>32</v>
      </c>
      <c r="C7" s="78" t="s">
        <v>31</v>
      </c>
      <c r="D7" s="101">
        <v>56</v>
      </c>
      <c r="E7" s="85">
        <v>-8</v>
      </c>
      <c r="F7" s="85">
        <f>D7+E7</f>
        <v>48</v>
      </c>
    </row>
    <row r="8" spans="1:6" x14ac:dyDescent="0.3">
      <c r="A8" s="68" t="s">
        <v>17</v>
      </c>
      <c r="B8" s="69" t="s">
        <v>34</v>
      </c>
      <c r="C8" s="69" t="s">
        <v>33</v>
      </c>
      <c r="D8" s="102"/>
      <c r="E8" s="85"/>
      <c r="F8" s="85"/>
    </row>
    <row r="9" spans="1:6" ht="28.8" x14ac:dyDescent="0.3">
      <c r="A9" s="68" t="s">
        <v>17</v>
      </c>
      <c r="B9" s="69" t="s">
        <v>34</v>
      </c>
      <c r="C9" s="72" t="s">
        <v>35</v>
      </c>
      <c r="D9" s="102"/>
      <c r="E9" s="85"/>
      <c r="F9" s="85"/>
    </row>
    <row r="10" spans="1:6" x14ac:dyDescent="0.3">
      <c r="A10" s="68" t="s">
        <v>17</v>
      </c>
      <c r="B10" s="69" t="s">
        <v>34</v>
      </c>
      <c r="C10" s="72" t="s">
        <v>36</v>
      </c>
      <c r="D10" s="102"/>
      <c r="E10" s="85"/>
      <c r="F10" s="85"/>
    </row>
    <row r="11" spans="1:6" ht="28.8" x14ac:dyDescent="0.3">
      <c r="A11" s="68" t="s">
        <v>17</v>
      </c>
      <c r="B11" s="69" t="s">
        <v>29</v>
      </c>
      <c r="C11" s="72" t="s">
        <v>38</v>
      </c>
      <c r="D11" s="103"/>
      <c r="E11" s="85"/>
      <c r="F11" s="85"/>
    </row>
    <row r="12" spans="1:6" ht="28.8" x14ac:dyDescent="0.3">
      <c r="A12" s="68" t="s">
        <v>37</v>
      </c>
      <c r="B12" s="69" t="s">
        <v>41</v>
      </c>
      <c r="C12" s="72" t="s">
        <v>39</v>
      </c>
      <c r="D12" s="70">
        <v>6</v>
      </c>
      <c r="E12" s="7"/>
      <c r="F12" s="70">
        <v>6</v>
      </c>
    </row>
    <row r="13" spans="1:6" ht="28.8" x14ac:dyDescent="0.3">
      <c r="A13" s="68" t="s">
        <v>42</v>
      </c>
      <c r="B13" s="69" t="s">
        <v>44</v>
      </c>
      <c r="C13" s="72" t="s">
        <v>43</v>
      </c>
      <c r="D13" s="70">
        <v>8</v>
      </c>
      <c r="E13" s="7"/>
      <c r="F13" s="70">
        <v>8</v>
      </c>
    </row>
    <row r="14" spans="1:6" x14ac:dyDescent="0.3">
      <c r="A14" s="97" t="s">
        <v>30</v>
      </c>
      <c r="B14" s="99" t="s">
        <v>46</v>
      </c>
      <c r="C14" s="75" t="s">
        <v>80</v>
      </c>
      <c r="D14" s="95">
        <v>6</v>
      </c>
      <c r="E14" s="91"/>
      <c r="F14" s="94">
        <v>6</v>
      </c>
    </row>
    <row r="15" spans="1:6" x14ac:dyDescent="0.3">
      <c r="A15" s="98"/>
      <c r="B15" s="100"/>
      <c r="C15" s="76" t="s">
        <v>81</v>
      </c>
      <c r="D15" s="96"/>
      <c r="E15" s="92"/>
      <c r="F15" s="94"/>
    </row>
    <row r="16" spans="1:6" ht="28.8" x14ac:dyDescent="0.3">
      <c r="A16" s="97" t="s">
        <v>30</v>
      </c>
      <c r="B16" s="99" t="s">
        <v>48</v>
      </c>
      <c r="C16" s="75" t="s">
        <v>82</v>
      </c>
      <c r="D16" s="95">
        <v>10</v>
      </c>
      <c r="E16" s="91"/>
      <c r="F16" s="94">
        <v>10</v>
      </c>
    </row>
    <row r="17" spans="1:6" ht="43.2" x14ac:dyDescent="0.3">
      <c r="A17" s="98"/>
      <c r="B17" s="100"/>
      <c r="C17" s="76" t="s">
        <v>83</v>
      </c>
      <c r="D17" s="96"/>
      <c r="E17" s="92"/>
      <c r="F17" s="94"/>
    </row>
    <row r="18" spans="1:6" ht="28.8" x14ac:dyDescent="0.3">
      <c r="A18" s="97" t="s">
        <v>30</v>
      </c>
      <c r="B18" s="99" t="s">
        <v>50</v>
      </c>
      <c r="C18" s="83" t="s">
        <v>84</v>
      </c>
      <c r="D18" s="95">
        <v>16</v>
      </c>
      <c r="E18" s="93" t="s">
        <v>90</v>
      </c>
      <c r="F18" s="94">
        <v>0</v>
      </c>
    </row>
    <row r="19" spans="1:6" x14ac:dyDescent="0.3">
      <c r="A19" s="98"/>
      <c r="B19" s="100"/>
      <c r="C19" s="84" t="s">
        <v>85</v>
      </c>
      <c r="D19" s="96"/>
      <c r="E19" s="93"/>
      <c r="F19" s="94"/>
    </row>
    <row r="20" spans="1:6" ht="28.8" x14ac:dyDescent="0.3">
      <c r="A20" s="68" t="s">
        <v>17</v>
      </c>
      <c r="B20" s="69" t="s">
        <v>52</v>
      </c>
      <c r="C20" s="72" t="s">
        <v>51</v>
      </c>
      <c r="D20" s="70">
        <v>10</v>
      </c>
      <c r="E20" s="7"/>
      <c r="F20" s="70">
        <v>10</v>
      </c>
    </row>
    <row r="21" spans="1:6" ht="28.8" x14ac:dyDescent="0.3">
      <c r="A21" s="68" t="s">
        <v>17</v>
      </c>
      <c r="B21" s="69" t="s">
        <v>54</v>
      </c>
      <c r="C21" s="69" t="s">
        <v>53</v>
      </c>
      <c r="D21" s="95">
        <v>20</v>
      </c>
      <c r="E21" s="91"/>
      <c r="F21" s="95">
        <v>20</v>
      </c>
    </row>
    <row r="22" spans="1:6" ht="28.8" x14ac:dyDescent="0.3">
      <c r="A22" s="68" t="s">
        <v>17</v>
      </c>
      <c r="B22" s="69" t="s">
        <v>56</v>
      </c>
      <c r="C22" s="69" t="s">
        <v>55</v>
      </c>
      <c r="D22" s="96"/>
      <c r="E22" s="92"/>
      <c r="F22" s="96"/>
    </row>
    <row r="23" spans="1:6" ht="28.8" x14ac:dyDescent="0.3">
      <c r="A23" s="68" t="s">
        <v>18</v>
      </c>
      <c r="B23" s="69" t="s">
        <v>58</v>
      </c>
      <c r="C23" s="69" t="s">
        <v>57</v>
      </c>
      <c r="D23" s="70">
        <v>10</v>
      </c>
      <c r="E23" s="7"/>
      <c r="F23" s="70">
        <v>10</v>
      </c>
    </row>
    <row r="24" spans="1:6" ht="28.8" x14ac:dyDescent="0.3">
      <c r="A24" s="68" t="s">
        <v>9</v>
      </c>
      <c r="B24" s="69" t="s">
        <v>60</v>
      </c>
      <c r="C24" s="69" t="s">
        <v>59</v>
      </c>
      <c r="D24" s="70">
        <v>5</v>
      </c>
      <c r="E24" s="7"/>
      <c r="F24" s="70">
        <v>5</v>
      </c>
    </row>
    <row r="25" spans="1:6" x14ac:dyDescent="0.3">
      <c r="A25" s="68" t="s">
        <v>17</v>
      </c>
      <c r="B25" s="69" t="s">
        <v>62</v>
      </c>
      <c r="C25" s="77" t="s">
        <v>61</v>
      </c>
      <c r="D25" s="70">
        <v>5</v>
      </c>
      <c r="E25" s="7"/>
      <c r="F25" s="70">
        <v>5</v>
      </c>
    </row>
    <row r="26" spans="1:6" x14ac:dyDescent="0.3">
      <c r="A26" s="68" t="s">
        <v>17</v>
      </c>
      <c r="B26" s="69" t="s">
        <v>64</v>
      </c>
      <c r="C26" s="58" t="s">
        <v>63</v>
      </c>
      <c r="D26" s="70">
        <v>14</v>
      </c>
      <c r="E26" s="7"/>
      <c r="F26" s="70">
        <v>14</v>
      </c>
    </row>
    <row r="27" spans="1:6" x14ac:dyDescent="0.3">
      <c r="A27" s="68" t="s">
        <v>37</v>
      </c>
      <c r="B27" s="69" t="s">
        <v>66</v>
      </c>
      <c r="C27" s="59" t="s">
        <v>65</v>
      </c>
      <c r="D27" s="70">
        <v>10</v>
      </c>
      <c r="E27" s="7"/>
      <c r="F27" s="70">
        <v>10</v>
      </c>
    </row>
    <row r="28" spans="1:6" ht="28.8" x14ac:dyDescent="0.3">
      <c r="A28" s="68" t="s">
        <v>42</v>
      </c>
      <c r="B28" s="69" t="s">
        <v>69</v>
      </c>
      <c r="C28" s="58" t="s">
        <v>67</v>
      </c>
      <c r="D28" s="73">
        <v>40</v>
      </c>
      <c r="E28" s="7"/>
      <c r="F28" s="70">
        <v>40</v>
      </c>
    </row>
    <row r="29" spans="1:6" ht="28.8" x14ac:dyDescent="0.3">
      <c r="A29" s="5" t="s">
        <v>30</v>
      </c>
      <c r="B29" s="69" t="s">
        <v>86</v>
      </c>
      <c r="C29" s="79" t="s">
        <v>77</v>
      </c>
      <c r="D29" s="94"/>
      <c r="E29" s="85">
        <v>10</v>
      </c>
      <c r="F29" s="85">
        <v>10</v>
      </c>
    </row>
    <row r="30" spans="1:6" x14ac:dyDescent="0.3">
      <c r="A30" s="5" t="s">
        <v>30</v>
      </c>
      <c r="B30" s="69" t="s">
        <v>86</v>
      </c>
      <c r="C30" s="79" t="s">
        <v>78</v>
      </c>
      <c r="D30" s="94"/>
      <c r="E30" s="85"/>
      <c r="F30" s="85"/>
    </row>
    <row r="31" spans="1:6" ht="28.8" x14ac:dyDescent="0.55000000000000004">
      <c r="D31" s="82">
        <f>SUM(D2:D30)</f>
        <v>340</v>
      </c>
      <c r="E31" s="82"/>
      <c r="F31" s="82">
        <f>SUM(F2:F30)</f>
        <v>326</v>
      </c>
    </row>
  </sheetData>
  <mergeCells count="24">
    <mergeCell ref="A18:A19"/>
    <mergeCell ref="B18:B19"/>
    <mergeCell ref="D18:D19"/>
    <mergeCell ref="E14:E15"/>
    <mergeCell ref="F14:F15"/>
    <mergeCell ref="A16:A17"/>
    <mergeCell ref="E16:E17"/>
    <mergeCell ref="B16:B17"/>
    <mergeCell ref="D16:D17"/>
    <mergeCell ref="F16:F17"/>
    <mergeCell ref="A14:A15"/>
    <mergeCell ref="B14:B15"/>
    <mergeCell ref="D14:D15"/>
    <mergeCell ref="E18:E19"/>
    <mergeCell ref="F18:F19"/>
    <mergeCell ref="F7:F11"/>
    <mergeCell ref="E7:E11"/>
    <mergeCell ref="D29:D30"/>
    <mergeCell ref="E29:E30"/>
    <mergeCell ref="F29:F30"/>
    <mergeCell ref="E21:E22"/>
    <mergeCell ref="F21:F22"/>
    <mergeCell ref="D21:D22"/>
    <mergeCell ref="D7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89DFD-18D7-4BF6-A54B-AE268E8B997B}">
  <dimension ref="A1:C20"/>
  <sheetViews>
    <sheetView workbookViewId="0">
      <selection activeCell="C1" sqref="C1:C1048576"/>
    </sheetView>
  </sheetViews>
  <sheetFormatPr defaultRowHeight="14.4" x14ac:dyDescent="0.3"/>
  <cols>
    <col min="2" max="2" width="31" customWidth="1"/>
  </cols>
  <sheetData>
    <row r="1" spans="1:3" x14ac:dyDescent="0.3">
      <c r="A1" s="18">
        <v>90</v>
      </c>
      <c r="B1">
        <f>A1/8</f>
        <v>11.25</v>
      </c>
      <c r="C1">
        <v>76</v>
      </c>
    </row>
    <row r="2" spans="1:3" x14ac:dyDescent="0.3">
      <c r="A2" s="19">
        <v>4</v>
      </c>
      <c r="B2">
        <f t="shared" ref="B2:B20" si="0">A2/8</f>
        <v>0.5</v>
      </c>
      <c r="C2" s="19">
        <v>4</v>
      </c>
    </row>
    <row r="3" spans="1:3" x14ac:dyDescent="0.3">
      <c r="A3" s="13">
        <v>8</v>
      </c>
      <c r="B3">
        <f t="shared" si="0"/>
        <v>1</v>
      </c>
      <c r="C3" s="13">
        <v>8</v>
      </c>
    </row>
    <row r="4" spans="1:3" x14ac:dyDescent="0.3">
      <c r="A4" s="9">
        <v>16</v>
      </c>
      <c r="B4">
        <f t="shared" si="0"/>
        <v>2</v>
      </c>
      <c r="C4" s="9">
        <v>16</v>
      </c>
    </row>
    <row r="5" spans="1:3" x14ac:dyDescent="0.3">
      <c r="A5" s="9">
        <v>20</v>
      </c>
      <c r="B5">
        <f t="shared" si="0"/>
        <v>2.5</v>
      </c>
      <c r="C5" s="9">
        <v>20</v>
      </c>
    </row>
    <row r="6" spans="1:3" x14ac:dyDescent="0.3">
      <c r="A6" s="25">
        <v>56</v>
      </c>
      <c r="B6">
        <f t="shared" si="0"/>
        <v>7</v>
      </c>
      <c r="C6" s="25">
        <v>56</v>
      </c>
    </row>
    <row r="7" spans="1:3" x14ac:dyDescent="0.3">
      <c r="A7" s="9">
        <v>6</v>
      </c>
      <c r="B7">
        <f t="shared" si="0"/>
        <v>0.75</v>
      </c>
      <c r="C7" s="9">
        <v>6</v>
      </c>
    </row>
    <row r="8" spans="1:3" x14ac:dyDescent="0.3">
      <c r="A8" s="9">
        <v>8</v>
      </c>
      <c r="B8">
        <f t="shared" si="0"/>
        <v>1</v>
      </c>
      <c r="C8" s="9">
        <v>8</v>
      </c>
    </row>
    <row r="9" spans="1:3" x14ac:dyDescent="0.3">
      <c r="A9" s="15">
        <v>8</v>
      </c>
      <c r="B9">
        <f t="shared" si="0"/>
        <v>1</v>
      </c>
      <c r="C9" s="15">
        <v>8</v>
      </c>
    </row>
    <row r="10" spans="1:3" x14ac:dyDescent="0.3">
      <c r="A10" s="9">
        <v>10</v>
      </c>
      <c r="B10">
        <f t="shared" si="0"/>
        <v>1.25</v>
      </c>
      <c r="C10" s="9">
        <v>10</v>
      </c>
    </row>
    <row r="11" spans="1:3" x14ac:dyDescent="0.3">
      <c r="A11" s="9">
        <v>16</v>
      </c>
      <c r="B11">
        <f t="shared" si="0"/>
        <v>2</v>
      </c>
      <c r="C11" s="9">
        <v>-16</v>
      </c>
    </row>
    <row r="12" spans="1:3" x14ac:dyDescent="0.3">
      <c r="A12" s="9">
        <v>12</v>
      </c>
      <c r="B12">
        <f t="shared" si="0"/>
        <v>1.5</v>
      </c>
      <c r="C12" s="9">
        <v>12</v>
      </c>
    </row>
    <row r="13" spans="1:3" x14ac:dyDescent="0.3">
      <c r="A13" s="12">
        <v>12</v>
      </c>
      <c r="B13">
        <f t="shared" si="0"/>
        <v>1.5</v>
      </c>
      <c r="C13" s="12">
        <v>12</v>
      </c>
    </row>
    <row r="14" spans="1:3" x14ac:dyDescent="0.3">
      <c r="A14" s="14">
        <v>12</v>
      </c>
      <c r="B14">
        <f t="shared" si="0"/>
        <v>1.5</v>
      </c>
      <c r="C14" s="14">
        <v>6</v>
      </c>
    </row>
    <row r="15" spans="1:3" x14ac:dyDescent="0.3">
      <c r="A15" s="9">
        <v>10</v>
      </c>
      <c r="B15">
        <f t="shared" si="0"/>
        <v>1.25</v>
      </c>
      <c r="C15" s="9">
        <v>10</v>
      </c>
    </row>
    <row r="16" spans="1:3" x14ac:dyDescent="0.3">
      <c r="A16" s="9">
        <v>5</v>
      </c>
      <c r="B16">
        <f t="shared" si="0"/>
        <v>0.625</v>
      </c>
      <c r="C16" s="9">
        <v>5</v>
      </c>
    </row>
    <row r="17" spans="1:3" x14ac:dyDescent="0.3">
      <c r="A17" s="9">
        <v>5</v>
      </c>
      <c r="B17">
        <f t="shared" si="0"/>
        <v>0.625</v>
      </c>
      <c r="C17" s="9">
        <v>5</v>
      </c>
    </row>
    <row r="18" spans="1:3" x14ac:dyDescent="0.3">
      <c r="A18" s="9">
        <v>14</v>
      </c>
      <c r="B18">
        <f t="shared" si="0"/>
        <v>1.75</v>
      </c>
      <c r="C18" s="9">
        <v>14</v>
      </c>
    </row>
    <row r="19" spans="1:3" x14ac:dyDescent="0.3">
      <c r="A19" s="9">
        <v>10</v>
      </c>
      <c r="B19">
        <f t="shared" si="0"/>
        <v>1.25</v>
      </c>
      <c r="C19" s="9">
        <v>10</v>
      </c>
    </row>
    <row r="20" spans="1:3" x14ac:dyDescent="0.3">
      <c r="A20" s="9">
        <v>40</v>
      </c>
      <c r="B20">
        <f t="shared" si="0"/>
        <v>5</v>
      </c>
      <c r="C20" s="9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EE34D-8770-4DCB-98E5-BA552EA2B8DD}">
  <dimension ref="A1:I27"/>
  <sheetViews>
    <sheetView tabSelected="1" workbookViewId="0">
      <selection activeCell="B25" sqref="B25:D26"/>
    </sheetView>
  </sheetViews>
  <sheetFormatPr defaultRowHeight="14.4" x14ac:dyDescent="0.3"/>
  <cols>
    <col min="1" max="1" width="12" customWidth="1"/>
    <col min="2" max="2" width="14.88671875" customWidth="1"/>
    <col min="3" max="3" width="72.6640625" customWidth="1"/>
    <col min="4" max="4" width="54.5546875" bestFit="1" customWidth="1"/>
    <col min="5" max="5" width="8" bestFit="1" customWidth="1"/>
    <col min="6" max="6" width="16.109375" style="16" customWidth="1"/>
    <col min="7" max="7" width="11" customWidth="1"/>
    <col min="8" max="8" width="26" customWidth="1"/>
    <col min="9" max="9" width="18" customWidth="1"/>
  </cols>
  <sheetData>
    <row r="1" spans="1:9" ht="28.8" x14ac:dyDescent="0.3">
      <c r="A1" s="2" t="s">
        <v>6</v>
      </c>
      <c r="B1" s="1" t="s">
        <v>0</v>
      </c>
      <c r="C1" s="4" t="s">
        <v>5</v>
      </c>
      <c r="D1" s="2" t="s">
        <v>1</v>
      </c>
      <c r="E1" s="1" t="s">
        <v>2</v>
      </c>
      <c r="F1" s="1" t="s">
        <v>3</v>
      </c>
      <c r="G1" s="3" t="s">
        <v>4</v>
      </c>
      <c r="H1" s="1" t="s">
        <v>7</v>
      </c>
      <c r="I1" s="2" t="s">
        <v>8</v>
      </c>
    </row>
    <row r="2" spans="1:9" ht="43.2" x14ac:dyDescent="0.3">
      <c r="A2" s="44">
        <v>76</v>
      </c>
      <c r="B2" s="5" t="s">
        <v>9</v>
      </c>
      <c r="C2" s="6" t="s">
        <v>14</v>
      </c>
      <c r="D2" s="6" t="s">
        <v>15</v>
      </c>
      <c r="E2" s="7" t="s">
        <v>10</v>
      </c>
      <c r="F2" s="17" t="s">
        <v>16</v>
      </c>
      <c r="G2" s="8" t="s">
        <v>11</v>
      </c>
      <c r="H2" s="9" t="s">
        <v>70</v>
      </c>
      <c r="I2" s="9"/>
    </row>
    <row r="3" spans="1:9" ht="28.8" x14ac:dyDescent="0.3">
      <c r="A3" s="15">
        <v>4</v>
      </c>
      <c r="B3" s="5" t="s">
        <v>18</v>
      </c>
      <c r="C3" s="52" t="s">
        <v>20</v>
      </c>
      <c r="D3" s="10" t="s">
        <v>19</v>
      </c>
      <c r="E3" s="7" t="s">
        <v>10</v>
      </c>
      <c r="F3" s="17" t="s">
        <v>16</v>
      </c>
      <c r="G3" s="8" t="s">
        <v>11</v>
      </c>
      <c r="H3" s="9" t="s">
        <v>70</v>
      </c>
      <c r="I3" s="9"/>
    </row>
    <row r="4" spans="1:9" ht="28.8" x14ac:dyDescent="0.3">
      <c r="A4" s="13">
        <v>8</v>
      </c>
      <c r="B4" s="5" t="s">
        <v>17</v>
      </c>
      <c r="C4" s="6" t="s">
        <v>22</v>
      </c>
      <c r="D4" s="6" t="s">
        <v>21</v>
      </c>
      <c r="E4" s="53" t="s">
        <v>10</v>
      </c>
      <c r="F4" s="17" t="s">
        <v>16</v>
      </c>
      <c r="G4" s="8" t="s">
        <v>11</v>
      </c>
      <c r="H4" s="9" t="s">
        <v>70</v>
      </c>
      <c r="I4" s="54"/>
    </row>
    <row r="5" spans="1:9" ht="43.2" x14ac:dyDescent="0.3">
      <c r="A5" s="9">
        <v>16</v>
      </c>
      <c r="B5" s="5" t="s">
        <v>18</v>
      </c>
      <c r="C5" s="6" t="s">
        <v>24</v>
      </c>
      <c r="D5" s="6" t="s">
        <v>23</v>
      </c>
      <c r="E5" s="7" t="s">
        <v>10</v>
      </c>
      <c r="F5" s="17" t="s">
        <v>12</v>
      </c>
      <c r="G5" s="8" t="s">
        <v>11</v>
      </c>
      <c r="H5" s="9" t="s">
        <v>70</v>
      </c>
      <c r="I5" s="9"/>
    </row>
    <row r="6" spans="1:9" x14ac:dyDescent="0.3">
      <c r="A6" s="9">
        <v>20</v>
      </c>
      <c r="B6" s="5" t="s">
        <v>18</v>
      </c>
      <c r="C6" s="6" t="s">
        <v>27</v>
      </c>
      <c r="D6" s="10" t="s">
        <v>25</v>
      </c>
      <c r="E6" s="7" t="s">
        <v>10</v>
      </c>
      <c r="F6" s="17" t="s">
        <v>26</v>
      </c>
      <c r="G6" s="8" t="s">
        <v>11</v>
      </c>
      <c r="H6" s="9" t="s">
        <v>70</v>
      </c>
      <c r="I6" s="9" t="s">
        <v>28</v>
      </c>
    </row>
    <row r="7" spans="1:9" ht="43.2" customHeight="1" x14ac:dyDescent="0.3">
      <c r="A7" s="104">
        <f>56-8</f>
        <v>48</v>
      </c>
      <c r="B7" s="5" t="s">
        <v>17</v>
      </c>
      <c r="C7" s="6" t="s">
        <v>34</v>
      </c>
      <c r="D7" s="6" t="s">
        <v>33</v>
      </c>
      <c r="E7" s="53" t="s">
        <v>10</v>
      </c>
      <c r="F7" s="17" t="s">
        <v>13</v>
      </c>
      <c r="G7" s="8" t="s">
        <v>11</v>
      </c>
      <c r="H7" s="9" t="s">
        <v>70</v>
      </c>
      <c r="I7" s="54" t="s">
        <v>28</v>
      </c>
    </row>
    <row r="8" spans="1:9" ht="43.2" x14ac:dyDescent="0.3">
      <c r="A8" s="104"/>
      <c r="B8" s="5" t="s">
        <v>17</v>
      </c>
      <c r="C8" s="6" t="s">
        <v>34</v>
      </c>
      <c r="D8" s="10" t="s">
        <v>35</v>
      </c>
      <c r="E8" s="7" t="s">
        <v>10</v>
      </c>
      <c r="F8" s="17" t="s">
        <v>16</v>
      </c>
      <c r="G8" s="8" t="s">
        <v>11</v>
      </c>
      <c r="H8" s="9" t="s">
        <v>70</v>
      </c>
      <c r="I8" s="9" t="s">
        <v>28</v>
      </c>
    </row>
    <row r="9" spans="1:9" ht="43.2" customHeight="1" x14ac:dyDescent="0.3">
      <c r="A9" s="104"/>
      <c r="B9" s="5" t="s">
        <v>18</v>
      </c>
      <c r="C9" s="6" t="s">
        <v>34</v>
      </c>
      <c r="D9" s="10" t="s">
        <v>36</v>
      </c>
      <c r="E9" s="7" t="s">
        <v>10</v>
      </c>
      <c r="F9" s="17" t="s">
        <v>16</v>
      </c>
      <c r="G9" s="8" t="s">
        <v>11</v>
      </c>
      <c r="H9" s="9" t="s">
        <v>70</v>
      </c>
      <c r="I9" s="9" t="s">
        <v>28</v>
      </c>
    </row>
    <row r="10" spans="1:9" ht="57.6" customHeight="1" x14ac:dyDescent="0.3">
      <c r="A10" s="105"/>
      <c r="B10" s="5" t="s">
        <v>37</v>
      </c>
      <c r="C10" s="6" t="s">
        <v>29</v>
      </c>
      <c r="D10" s="10" t="s">
        <v>38</v>
      </c>
      <c r="E10" s="56" t="s">
        <v>10</v>
      </c>
      <c r="F10" s="54" t="s">
        <v>16</v>
      </c>
      <c r="G10" s="8" t="s">
        <v>11</v>
      </c>
      <c r="H10" s="9" t="s">
        <v>70</v>
      </c>
      <c r="I10" s="9"/>
    </row>
    <row r="11" spans="1:9" ht="43.2" x14ac:dyDescent="0.3">
      <c r="A11" s="9">
        <v>6</v>
      </c>
      <c r="B11" s="5" t="s">
        <v>37</v>
      </c>
      <c r="C11" s="6" t="s">
        <v>41</v>
      </c>
      <c r="D11" s="10" t="s">
        <v>39</v>
      </c>
      <c r="E11" s="7" t="s">
        <v>10</v>
      </c>
      <c r="F11" s="17" t="s">
        <v>40</v>
      </c>
      <c r="G11" s="8" t="s">
        <v>11</v>
      </c>
      <c r="H11" s="9" t="s">
        <v>70</v>
      </c>
      <c r="I11" s="9" t="s">
        <v>28</v>
      </c>
    </row>
    <row r="12" spans="1:9" ht="28.8" x14ac:dyDescent="0.3">
      <c r="A12" s="9">
        <v>8</v>
      </c>
      <c r="B12" s="5" t="s">
        <v>42</v>
      </c>
      <c r="C12" s="6" t="s">
        <v>44</v>
      </c>
      <c r="D12" s="10" t="s">
        <v>43</v>
      </c>
      <c r="E12" s="7" t="s">
        <v>10</v>
      </c>
      <c r="F12" s="17" t="s">
        <v>16</v>
      </c>
      <c r="G12" s="8" t="s">
        <v>11</v>
      </c>
      <c r="H12" s="9" t="s">
        <v>70</v>
      </c>
      <c r="I12" s="9"/>
    </row>
    <row r="13" spans="1:9" ht="43.2" x14ac:dyDescent="0.3">
      <c r="A13" s="15">
        <v>6</v>
      </c>
      <c r="B13" s="5" t="s">
        <v>30</v>
      </c>
      <c r="C13" s="11" t="s">
        <v>46</v>
      </c>
      <c r="D13" s="10" t="s">
        <v>45</v>
      </c>
      <c r="E13" s="7" t="s">
        <v>10</v>
      </c>
      <c r="F13" s="17" t="s">
        <v>16</v>
      </c>
      <c r="G13" s="8" t="s">
        <v>11</v>
      </c>
      <c r="H13" s="9" t="s">
        <v>70</v>
      </c>
      <c r="I13" s="9" t="s">
        <v>28</v>
      </c>
    </row>
    <row r="14" spans="1:9" ht="84.6" customHeight="1" x14ac:dyDescent="0.3">
      <c r="A14" s="9">
        <v>10</v>
      </c>
      <c r="B14" s="5" t="s">
        <v>30</v>
      </c>
      <c r="C14" s="6" t="s">
        <v>48</v>
      </c>
      <c r="D14" s="10" t="s">
        <v>47</v>
      </c>
      <c r="E14" s="7" t="s">
        <v>10</v>
      </c>
      <c r="F14" s="17" t="s">
        <v>40</v>
      </c>
      <c r="G14" s="8" t="s">
        <v>11</v>
      </c>
      <c r="H14" s="9" t="s">
        <v>70</v>
      </c>
      <c r="I14" s="9" t="s">
        <v>28</v>
      </c>
    </row>
    <row r="15" spans="1:9" ht="72" x14ac:dyDescent="0.3">
      <c r="A15" s="61">
        <v>16</v>
      </c>
      <c r="B15" s="62" t="s">
        <v>30</v>
      </c>
      <c r="C15" s="29" t="s">
        <v>50</v>
      </c>
      <c r="D15" s="28" t="s">
        <v>49</v>
      </c>
      <c r="E15" s="7" t="s">
        <v>10</v>
      </c>
      <c r="F15" s="17" t="s">
        <v>16</v>
      </c>
      <c r="G15" s="8" t="s">
        <v>11</v>
      </c>
      <c r="H15" s="9" t="s">
        <v>70</v>
      </c>
      <c r="I15" s="9"/>
    </row>
    <row r="16" spans="1:9" x14ac:dyDescent="0.3">
      <c r="A16" s="9">
        <v>10</v>
      </c>
      <c r="B16" s="5" t="s">
        <v>17</v>
      </c>
      <c r="C16" s="6" t="s">
        <v>52</v>
      </c>
      <c r="D16" s="10" t="s">
        <v>51</v>
      </c>
      <c r="E16" s="7" t="s">
        <v>10</v>
      </c>
      <c r="F16" s="17" t="s">
        <v>13</v>
      </c>
      <c r="G16" s="8" t="s">
        <v>11</v>
      </c>
      <c r="H16" s="9" t="s">
        <v>70</v>
      </c>
      <c r="I16" s="9"/>
    </row>
    <row r="17" spans="1:9" ht="28.8" x14ac:dyDescent="0.3">
      <c r="A17" s="15">
        <v>20</v>
      </c>
      <c r="B17" s="5" t="s">
        <v>17</v>
      </c>
      <c r="C17" s="6" t="s">
        <v>54</v>
      </c>
      <c r="D17" s="6" t="s">
        <v>53</v>
      </c>
      <c r="E17" s="7" t="s">
        <v>10</v>
      </c>
      <c r="F17" s="17" t="s">
        <v>16</v>
      </c>
      <c r="G17" s="8" t="s">
        <v>11</v>
      </c>
      <c r="H17" s="9" t="s">
        <v>70</v>
      </c>
      <c r="I17" s="9" t="s">
        <v>28</v>
      </c>
    </row>
    <row r="18" spans="1:9" ht="28.8" x14ac:dyDescent="0.3">
      <c r="A18" s="55"/>
      <c r="B18" s="5" t="s">
        <v>17</v>
      </c>
      <c r="C18" s="6" t="s">
        <v>56</v>
      </c>
      <c r="D18" s="6" t="s">
        <v>55</v>
      </c>
      <c r="E18" s="7" t="s">
        <v>10</v>
      </c>
      <c r="F18" s="17" t="s">
        <v>16</v>
      </c>
      <c r="G18" s="8" t="s">
        <v>11</v>
      </c>
      <c r="H18" s="9" t="s">
        <v>70</v>
      </c>
      <c r="I18" s="9"/>
    </row>
    <row r="19" spans="1:9" ht="28.8" x14ac:dyDescent="0.3">
      <c r="A19" s="9">
        <v>10</v>
      </c>
      <c r="B19" s="5" t="s">
        <v>18</v>
      </c>
      <c r="C19" s="6" t="s">
        <v>58</v>
      </c>
      <c r="D19" s="6" t="s">
        <v>57</v>
      </c>
      <c r="E19" s="7" t="s">
        <v>10</v>
      </c>
      <c r="F19" s="17" t="s">
        <v>16</v>
      </c>
      <c r="G19" s="8" t="s">
        <v>11</v>
      </c>
      <c r="H19" s="9" t="s">
        <v>70</v>
      </c>
      <c r="I19" s="9"/>
    </row>
    <row r="20" spans="1:9" ht="28.8" x14ac:dyDescent="0.3">
      <c r="A20" s="9">
        <v>5</v>
      </c>
      <c r="B20" s="5" t="s">
        <v>9</v>
      </c>
      <c r="C20" s="6" t="s">
        <v>60</v>
      </c>
      <c r="D20" s="6" t="s">
        <v>59</v>
      </c>
      <c r="E20" s="7" t="s">
        <v>10</v>
      </c>
      <c r="F20" s="17" t="s">
        <v>16</v>
      </c>
      <c r="G20" s="8" t="s">
        <v>11</v>
      </c>
      <c r="H20" s="9" t="s">
        <v>70</v>
      </c>
      <c r="I20" s="9"/>
    </row>
    <row r="21" spans="1:9" x14ac:dyDescent="0.3">
      <c r="A21" s="9">
        <v>5</v>
      </c>
      <c r="B21" s="5" t="s">
        <v>17</v>
      </c>
      <c r="C21" s="6" t="s">
        <v>62</v>
      </c>
      <c r="D21" s="57" t="s">
        <v>61</v>
      </c>
      <c r="E21" s="7" t="s">
        <v>10</v>
      </c>
      <c r="F21" s="17" t="s">
        <v>16</v>
      </c>
      <c r="G21" s="8" t="s">
        <v>11</v>
      </c>
      <c r="H21" s="9" t="s">
        <v>70</v>
      </c>
      <c r="I21" s="9"/>
    </row>
    <row r="22" spans="1:9" ht="28.8" x14ac:dyDescent="0.3">
      <c r="A22" s="9">
        <v>14</v>
      </c>
      <c r="B22" s="5" t="s">
        <v>17</v>
      </c>
      <c r="C22" s="6" t="s">
        <v>64</v>
      </c>
      <c r="D22" s="58" t="s">
        <v>63</v>
      </c>
      <c r="E22" s="7" t="s">
        <v>10</v>
      </c>
      <c r="F22" s="17" t="s">
        <v>16</v>
      </c>
      <c r="G22" s="8" t="s">
        <v>11</v>
      </c>
      <c r="H22" s="9" t="s">
        <v>70</v>
      </c>
      <c r="I22" s="9"/>
    </row>
    <row r="23" spans="1:9" x14ac:dyDescent="0.3">
      <c r="A23" s="9">
        <v>10</v>
      </c>
      <c r="B23" s="5" t="s">
        <v>37</v>
      </c>
      <c r="C23" s="6" t="s">
        <v>66</v>
      </c>
      <c r="D23" s="59" t="s">
        <v>65</v>
      </c>
      <c r="E23" s="7" t="s">
        <v>10</v>
      </c>
      <c r="F23" s="17" t="s">
        <v>16</v>
      </c>
      <c r="G23" s="8" t="s">
        <v>11</v>
      </c>
      <c r="H23" s="9" t="s">
        <v>70</v>
      </c>
      <c r="I23" s="9" t="s">
        <v>28</v>
      </c>
    </row>
    <row r="24" spans="1:9" ht="43.2" x14ac:dyDescent="0.3">
      <c r="A24" s="9">
        <v>40</v>
      </c>
      <c r="B24" s="5" t="s">
        <v>42</v>
      </c>
      <c r="C24" s="6" t="s">
        <v>69</v>
      </c>
      <c r="D24" s="58" t="s">
        <v>67</v>
      </c>
      <c r="E24" s="7" t="s">
        <v>10</v>
      </c>
      <c r="F24" s="20" t="s">
        <v>68</v>
      </c>
      <c r="G24" s="8" t="s">
        <v>11</v>
      </c>
      <c r="H24" s="9" t="s">
        <v>70</v>
      </c>
      <c r="I24" s="9"/>
    </row>
    <row r="25" spans="1:9" ht="43.2" x14ac:dyDescent="0.3">
      <c r="A25" s="85">
        <v>10</v>
      </c>
      <c r="B25" s="5" t="s">
        <v>30</v>
      </c>
      <c r="C25" s="63" t="s">
        <v>86</v>
      </c>
      <c r="D25" s="60" t="s">
        <v>77</v>
      </c>
    </row>
    <row r="26" spans="1:9" ht="28.8" x14ac:dyDescent="0.3">
      <c r="A26" s="85"/>
      <c r="B26" s="5" t="s">
        <v>30</v>
      </c>
      <c r="C26" s="63" t="s">
        <v>86</v>
      </c>
      <c r="D26" s="60" t="s">
        <v>78</v>
      </c>
    </row>
    <row r="27" spans="1:9" x14ac:dyDescent="0.3">
      <c r="C27" s="64"/>
    </row>
  </sheetData>
  <autoFilter ref="A1:I26" xr:uid="{79FCD72F-CF5E-48A5-B925-D60808E892ED}"/>
  <mergeCells count="2">
    <mergeCell ref="A7:A10"/>
    <mergeCell ref="A25:A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dev points</vt:lpstr>
      <vt:lpstr>Sheet3</vt:lpstr>
      <vt:lpstr>Sheet1</vt:lpstr>
      <vt:lpstr>dev points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Elissa Akiki</dc:creator>
  <cp:lastModifiedBy>Jocelyne Moussa</cp:lastModifiedBy>
  <dcterms:created xsi:type="dcterms:W3CDTF">2025-10-30T13:26:31Z</dcterms:created>
  <dcterms:modified xsi:type="dcterms:W3CDTF">2025-12-01T06:33:45Z</dcterms:modified>
</cp:coreProperties>
</file>